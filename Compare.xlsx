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981\Desktop\Main\"/>
    </mc:Choice>
  </mc:AlternateContent>
  <xr:revisionPtr revIDLastSave="0" documentId="13_ncr:1_{8CB30D62-EB1C-45D2-A968-7CAD9F4680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re" sheetId="1" r:id="rId1"/>
  </sheets>
  <definedNames>
    <definedName name="_xlnm._FilterDatabase" localSheetId="0" hidden="1">Compare!$A$1:$A$34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" l="1"/>
  <c r="D20" i="1"/>
  <c r="D13" i="1"/>
  <c r="D4" i="1"/>
  <c r="D17" i="1"/>
  <c r="D16" i="1"/>
  <c r="D19" i="1"/>
  <c r="D3" i="1"/>
  <c r="D10" i="1"/>
  <c r="D6" i="1"/>
  <c r="D15" i="1"/>
  <c r="D24" i="1"/>
  <c r="D8" i="1"/>
  <c r="D2" i="1"/>
  <c r="D7" i="1"/>
  <c r="D25" i="1"/>
  <c r="D12" i="1"/>
  <c r="D5" i="1"/>
  <c r="D28" i="1"/>
  <c r="D23" i="1"/>
  <c r="D18" i="1"/>
  <c r="D11" i="1"/>
  <c r="D26" i="1"/>
  <c r="D27" i="1"/>
  <c r="D29" i="1"/>
  <c r="D30" i="1"/>
  <c r="D21" i="1"/>
  <c r="D22" i="1"/>
  <c r="D31" i="1"/>
  <c r="D32" i="1"/>
  <c r="D14" i="1"/>
  <c r="C33" i="1"/>
  <c r="B33" i="1"/>
  <c r="D33" i="1" l="1"/>
</calcChain>
</file>

<file path=xl/sharedStrings.xml><?xml version="1.0" encoding="utf-8"?>
<sst xmlns="http://schemas.openxmlformats.org/spreadsheetml/2006/main" count="36" uniqueCount="36">
  <si>
    <t>نام استان</t>
  </si>
  <si>
    <t>اردبیل</t>
  </si>
  <si>
    <t>اصفهان</t>
  </si>
  <si>
    <t>البرز</t>
  </si>
  <si>
    <t>ایلام</t>
  </si>
  <si>
    <t>آذربایجان شرقی</t>
  </si>
  <si>
    <t>آذربایجان غربی</t>
  </si>
  <si>
    <t>بوشهر</t>
  </si>
  <si>
    <t>تهران</t>
  </si>
  <si>
    <t>چهار محال و بختیاری</t>
  </si>
  <si>
    <t>خراسان جنوبی</t>
  </si>
  <si>
    <t>خراسان رضوی</t>
  </si>
  <si>
    <t>خراسان شمالی</t>
  </si>
  <si>
    <t>خوزستان</t>
  </si>
  <si>
    <t>زنجان</t>
  </si>
  <si>
    <t>سمنان</t>
  </si>
  <si>
    <t>سیستان و بلوچستان</t>
  </si>
  <si>
    <t>فارس</t>
  </si>
  <si>
    <t>قزوین</t>
  </si>
  <si>
    <t>قم</t>
  </si>
  <si>
    <t>کردستان</t>
  </si>
  <si>
    <t>کرمان</t>
  </si>
  <si>
    <t>کرمانشاه</t>
  </si>
  <si>
    <t>کهگیلویه و بویر احمد</t>
  </si>
  <si>
    <t>گلستان</t>
  </si>
  <si>
    <t>گیلان</t>
  </si>
  <si>
    <t>لرستان</t>
  </si>
  <si>
    <t>مازندران</t>
  </si>
  <si>
    <t>مرکزی</t>
  </si>
  <si>
    <t>هرمزگان</t>
  </si>
  <si>
    <t>همدان</t>
  </si>
  <si>
    <t>یزد</t>
  </si>
  <si>
    <t>مجموع</t>
  </si>
  <si>
    <t>مجموع درآمدی سال 1404</t>
  </si>
  <si>
    <t>مجموع درآمدی سال 1403</t>
  </si>
  <si>
    <t>درصد رشد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</si>
</sst>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B Nazanin"/>
      <charset val="178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3" fontId="1" fillId="5" borderId="1" xfId="0" applyNumberFormat="1" applyFont="1" applyFill="1" applyBorder="1" applyAlignment="1">
      <alignment horizontal="center" vertical="center"/>
    </xf>
    <xf numFmtId="3" fontId="1" fillId="6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D5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r>
              <a:rPr lang="fa-IR">
                <a:cs typeface="B Nazanin" panose="00000400000000000000" pitchFamily="2" charset="-78"/>
              </a:rPr>
              <a:t>مقایسه درآمدی سال 1403 با 1404</a:t>
            </a:r>
            <a:endParaRPr lang="en-US">
              <a:cs typeface="B Nazanin" panose="000004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B Nazanin" panose="00000400000000000000" pitchFamily="2" charset="-78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Compare!$B$1</c:f>
              <c:strCache>
                <c:ptCount val="1"/>
                <c:pt idx="0">
                  <c:v>مجموع درآمدی سال 1403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Compare!$A$2:$A$32</c:f>
              <c:strCache>
                <c:ptCount val="31"/>
                <c:pt idx="0">
                  <c:v>خراسان جنوبی</c:v>
                </c:pt>
                <c:pt idx="1">
                  <c:v>البرز</c:v>
                </c:pt>
                <c:pt idx="2">
                  <c:v>آذربایجان شرقی</c:v>
                </c:pt>
                <c:pt idx="3">
                  <c:v>اردبیل</c:v>
                </c:pt>
                <c:pt idx="4">
                  <c:v>همدان</c:v>
                </c:pt>
                <c:pt idx="5">
                  <c:v>مرکزی</c:v>
                </c:pt>
                <c:pt idx="6">
                  <c:v>تهران</c:v>
                </c:pt>
                <c:pt idx="7">
                  <c:v>اصفهان</c:v>
                </c:pt>
                <c:pt idx="8">
                  <c:v>خراسان رضوی</c:v>
                </c:pt>
                <c:pt idx="9">
                  <c:v>چهار محال و بختیاری</c:v>
                </c:pt>
                <c:pt idx="10">
                  <c:v>سیستان و بلوچستان</c:v>
                </c:pt>
                <c:pt idx="11">
                  <c:v>قم</c:v>
                </c:pt>
                <c:pt idx="12">
                  <c:v>خوزستان</c:v>
                </c:pt>
                <c:pt idx="13">
                  <c:v>کرمانشاه</c:v>
                </c:pt>
                <c:pt idx="14">
                  <c:v>کرمان</c:v>
                </c:pt>
                <c:pt idx="15">
                  <c:v>هرمزگان</c:v>
                </c:pt>
                <c:pt idx="16">
                  <c:v>زنجان</c:v>
                </c:pt>
                <c:pt idx="17">
                  <c:v>مازندران</c:v>
                </c:pt>
                <c:pt idx="18">
                  <c:v>بوشهر</c:v>
                </c:pt>
                <c:pt idx="19">
                  <c:v>آذربایجان غربی</c:v>
                </c:pt>
                <c:pt idx="20">
                  <c:v>ایلام</c:v>
                </c:pt>
                <c:pt idx="21">
                  <c:v>کردستان</c:v>
                </c:pt>
                <c:pt idx="22">
                  <c:v>قزوین</c:v>
                </c:pt>
                <c:pt idx="23">
                  <c:v>گیلان</c:v>
                </c:pt>
                <c:pt idx="24">
                  <c:v>لرستان</c:v>
                </c:pt>
                <c:pt idx="25">
                  <c:v>یزد</c:v>
                </c:pt>
                <c:pt idx="26">
                  <c:v>سمنان</c:v>
                </c:pt>
                <c:pt idx="27">
                  <c:v>خراسان شمالی</c:v>
                </c:pt>
                <c:pt idx="28">
                  <c:v>گلستان</c:v>
                </c:pt>
                <c:pt idx="29">
                  <c:v>فارس</c:v>
                </c:pt>
                <c:pt idx="30">
                  <c:v>کهگیلویه و بویر احمد</c:v>
                </c:pt>
              </c:strCache>
            </c:strRef>
          </c:cat>
          <c:val>
            <c:numRef>
              <c:f>Compare!$B$2:$B$32</c:f>
              <c:numCache>
                <c:formatCode>#,##0</c:formatCode>
                <c:ptCount val="31"/>
                <c:pt idx="0">
                  <c:v>2700000</c:v>
                </c:pt>
                <c:pt idx="1">
                  <c:v>6000000</c:v>
                </c:pt>
                <c:pt idx="2">
                  <c:v>22500000</c:v>
                </c:pt>
                <c:pt idx="3">
                  <c:v>6700000</c:v>
                </c:pt>
                <c:pt idx="4">
                  <c:v>24000000</c:v>
                </c:pt>
                <c:pt idx="5">
                  <c:v>16000000</c:v>
                </c:pt>
                <c:pt idx="6">
                  <c:v>22700000</c:v>
                </c:pt>
                <c:pt idx="7">
                  <c:v>214650920</c:v>
                </c:pt>
                <c:pt idx="8">
                  <c:v>37800000</c:v>
                </c:pt>
                <c:pt idx="9">
                  <c:v>3600000</c:v>
                </c:pt>
                <c:pt idx="10">
                  <c:v>13500000</c:v>
                </c:pt>
                <c:pt idx="11">
                  <c:v>125000000</c:v>
                </c:pt>
                <c:pt idx="12">
                  <c:v>493000000</c:v>
                </c:pt>
                <c:pt idx="13">
                  <c:v>49000000</c:v>
                </c:pt>
                <c:pt idx="14">
                  <c:v>100500000</c:v>
                </c:pt>
                <c:pt idx="15">
                  <c:v>109000000</c:v>
                </c:pt>
                <c:pt idx="16">
                  <c:v>11000000</c:v>
                </c:pt>
                <c:pt idx="17">
                  <c:v>114000000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17000000</c:v>
                </c:pt>
                <c:pt idx="22">
                  <c:v>76000000</c:v>
                </c:pt>
                <c:pt idx="23">
                  <c:v>43200000</c:v>
                </c:pt>
                <c:pt idx="24">
                  <c:v>7500000</c:v>
                </c:pt>
                <c:pt idx="25">
                  <c:v>8500000</c:v>
                </c:pt>
                <c:pt idx="26">
                  <c:v>30200000</c:v>
                </c:pt>
                <c:pt idx="27">
                  <c:v>6345000</c:v>
                </c:pt>
                <c:pt idx="28">
                  <c:v>17000000</c:v>
                </c:pt>
                <c:pt idx="29">
                  <c:v>120000000</c:v>
                </c:pt>
                <c:pt idx="30">
                  <c:v>3000000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5-4207-A280-75505773397C}"/>
            </c:ext>
          </c:extLst>
        </c:ser>
        <c:ser>
          <c:idx val="1"/>
          <c:order val="1"/>
          <c:tx>
            <c:strRef>
              <c:f>Compare!$C$1</c:f>
              <c:strCache>
                <c:ptCount val="1"/>
                <c:pt idx="0">
                  <c:v>مجموع درآمدی سال 1404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Compare!$A$2:$A$32</c:f>
              <c:strCache>
                <c:ptCount val="31"/>
                <c:pt idx="0">
                  <c:v>خراسان جنوبی</c:v>
                </c:pt>
                <c:pt idx="1">
                  <c:v>البرز</c:v>
                </c:pt>
                <c:pt idx="2">
                  <c:v>آذربایجان شرقی</c:v>
                </c:pt>
                <c:pt idx="3">
                  <c:v>اردبیل</c:v>
                </c:pt>
                <c:pt idx="4">
                  <c:v>همدان</c:v>
                </c:pt>
                <c:pt idx="5">
                  <c:v>مرکزی</c:v>
                </c:pt>
                <c:pt idx="6">
                  <c:v>تهران</c:v>
                </c:pt>
                <c:pt idx="7">
                  <c:v>اصفهان</c:v>
                </c:pt>
                <c:pt idx="8">
                  <c:v>خراسان رضوی</c:v>
                </c:pt>
                <c:pt idx="9">
                  <c:v>چهار محال و بختیاری</c:v>
                </c:pt>
                <c:pt idx="10">
                  <c:v>سیستان و بلوچستان</c:v>
                </c:pt>
                <c:pt idx="11">
                  <c:v>قم</c:v>
                </c:pt>
                <c:pt idx="12">
                  <c:v>خوزستان</c:v>
                </c:pt>
                <c:pt idx="13">
                  <c:v>کرمانشاه</c:v>
                </c:pt>
                <c:pt idx="14">
                  <c:v>کرمان</c:v>
                </c:pt>
                <c:pt idx="15">
                  <c:v>هرمزگان</c:v>
                </c:pt>
                <c:pt idx="16">
                  <c:v>زنجان</c:v>
                </c:pt>
                <c:pt idx="17">
                  <c:v>مازندران</c:v>
                </c:pt>
                <c:pt idx="18">
                  <c:v>بوشهر</c:v>
                </c:pt>
                <c:pt idx="19">
                  <c:v>آذربایجان غربی</c:v>
                </c:pt>
                <c:pt idx="20">
                  <c:v>ایلام</c:v>
                </c:pt>
                <c:pt idx="21">
                  <c:v>کردستان</c:v>
                </c:pt>
                <c:pt idx="22">
                  <c:v>قزوین</c:v>
                </c:pt>
                <c:pt idx="23">
                  <c:v>گیلان</c:v>
                </c:pt>
                <c:pt idx="24">
                  <c:v>لرستان</c:v>
                </c:pt>
                <c:pt idx="25">
                  <c:v>یزد</c:v>
                </c:pt>
                <c:pt idx="26">
                  <c:v>سمنان</c:v>
                </c:pt>
                <c:pt idx="27">
                  <c:v>خراسان شمالی</c:v>
                </c:pt>
                <c:pt idx="28">
                  <c:v>گلستان</c:v>
                </c:pt>
                <c:pt idx="29">
                  <c:v>فارس</c:v>
                </c:pt>
                <c:pt idx="30">
                  <c:v>کهگیلویه و بویر احمد</c:v>
                </c:pt>
              </c:strCache>
            </c:strRef>
          </c:cat>
          <c:val>
            <c:numRef>
              <c:f>Compare!$C$2:$C$32</c:f>
              <c:numCache>
                <c:formatCode>#,##0</c:formatCode>
                <c:ptCount val="31"/>
                <c:pt idx="0">
                  <c:v>50000000</c:v>
                </c:pt>
                <c:pt idx="1">
                  <c:v>100000000</c:v>
                </c:pt>
                <c:pt idx="2">
                  <c:v>166000000</c:v>
                </c:pt>
                <c:pt idx="3">
                  <c:v>23200000</c:v>
                </c:pt>
                <c:pt idx="4">
                  <c:v>76000000</c:v>
                </c:pt>
                <c:pt idx="5">
                  <c:v>48800000</c:v>
                </c:pt>
                <c:pt idx="6">
                  <c:v>54100000</c:v>
                </c:pt>
                <c:pt idx="7">
                  <c:v>511362140</c:v>
                </c:pt>
                <c:pt idx="8">
                  <c:v>88100000</c:v>
                </c:pt>
                <c:pt idx="9">
                  <c:v>7600000</c:v>
                </c:pt>
                <c:pt idx="10">
                  <c:v>23700000</c:v>
                </c:pt>
                <c:pt idx="11">
                  <c:v>172490000</c:v>
                </c:pt>
                <c:pt idx="12">
                  <c:v>673000000</c:v>
                </c:pt>
                <c:pt idx="13">
                  <c:v>66000000</c:v>
                </c:pt>
                <c:pt idx="14">
                  <c:v>122000000</c:v>
                </c:pt>
                <c:pt idx="15">
                  <c:v>130000000</c:v>
                </c:pt>
                <c:pt idx="16">
                  <c:v>13000000</c:v>
                </c:pt>
                <c:pt idx="17">
                  <c:v>119000000</c:v>
                </c:pt>
                <c:pt idx="18">
                  <c:v>502000000</c:v>
                </c:pt>
                <c:pt idx="19">
                  <c:v>200000</c:v>
                </c:pt>
                <c:pt idx="20">
                  <c:v>0</c:v>
                </c:pt>
                <c:pt idx="21">
                  <c:v>14000000</c:v>
                </c:pt>
                <c:pt idx="22">
                  <c:v>62000000</c:v>
                </c:pt>
                <c:pt idx="23">
                  <c:v>35000000</c:v>
                </c:pt>
                <c:pt idx="24">
                  <c:v>6000000</c:v>
                </c:pt>
                <c:pt idx="25">
                  <c:v>6000000</c:v>
                </c:pt>
                <c:pt idx="26">
                  <c:v>19000000</c:v>
                </c:pt>
                <c:pt idx="27">
                  <c:v>3700000</c:v>
                </c:pt>
                <c:pt idx="28">
                  <c:v>2000000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D5-4207-A280-7550577339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88800591"/>
        <c:axId val="688801839"/>
      </c:barChart>
      <c:catAx>
        <c:axId val="688800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8801839"/>
        <c:crosses val="autoZero"/>
        <c:auto val="1"/>
        <c:lblAlgn val="ctr"/>
        <c:lblOffset val="100"/>
        <c:noMultiLvlLbl val="0"/>
      </c:catAx>
      <c:valAx>
        <c:axId val="68880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endParaRPr lang="en-US"/>
          </a:p>
        </c:txPr>
        <c:crossAx val="688800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>
                <a:cs typeface="B Nazanin" panose="00000400000000000000" pitchFamily="2" charset="-78"/>
              </a:rPr>
              <a:t>درصد رشد سال 1404 به نسبت سال 1403</a:t>
            </a:r>
            <a:endParaRPr lang="en-US">
              <a:cs typeface="B Nazanin" panose="00000400000000000000" pitchFamily="2" charset="-78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Compare!$A$2:$A$33</c:f>
              <c:strCache>
                <c:ptCount val="32"/>
                <c:pt idx="0">
                  <c:v>خراسان جنوبی</c:v>
                </c:pt>
                <c:pt idx="1">
                  <c:v>البرز</c:v>
                </c:pt>
                <c:pt idx="2">
                  <c:v>آذربایجان شرقی</c:v>
                </c:pt>
                <c:pt idx="3">
                  <c:v>اردبیل</c:v>
                </c:pt>
                <c:pt idx="4">
                  <c:v>همدان</c:v>
                </c:pt>
                <c:pt idx="5">
                  <c:v>مرکزی</c:v>
                </c:pt>
                <c:pt idx="6">
                  <c:v>تهران</c:v>
                </c:pt>
                <c:pt idx="7">
                  <c:v>اصفهان</c:v>
                </c:pt>
                <c:pt idx="8">
                  <c:v>خراسان رضوی</c:v>
                </c:pt>
                <c:pt idx="9">
                  <c:v>چهار محال و بختیاری</c:v>
                </c:pt>
                <c:pt idx="10">
                  <c:v>سیستان و بلوچستان</c:v>
                </c:pt>
                <c:pt idx="11">
                  <c:v>قم</c:v>
                </c:pt>
                <c:pt idx="12">
                  <c:v>خوزستان</c:v>
                </c:pt>
                <c:pt idx="13">
                  <c:v>کرمانشاه</c:v>
                </c:pt>
                <c:pt idx="14">
                  <c:v>کرمان</c:v>
                </c:pt>
                <c:pt idx="15">
                  <c:v>هرمزگان</c:v>
                </c:pt>
                <c:pt idx="16">
                  <c:v>زنجان</c:v>
                </c:pt>
                <c:pt idx="17">
                  <c:v>مازندران</c:v>
                </c:pt>
                <c:pt idx="18">
                  <c:v>بوشهر</c:v>
                </c:pt>
                <c:pt idx="19">
                  <c:v>آذربایجان غربی</c:v>
                </c:pt>
                <c:pt idx="20">
                  <c:v>ایلام</c:v>
                </c:pt>
                <c:pt idx="21">
                  <c:v>کردستان</c:v>
                </c:pt>
                <c:pt idx="22">
                  <c:v>قزوین</c:v>
                </c:pt>
                <c:pt idx="23">
                  <c:v>گیلان</c:v>
                </c:pt>
                <c:pt idx="24">
                  <c:v>لرستان</c:v>
                </c:pt>
                <c:pt idx="25">
                  <c:v>یزد</c:v>
                </c:pt>
                <c:pt idx="26">
                  <c:v>سمنان</c:v>
                </c:pt>
                <c:pt idx="27">
                  <c:v>خراسان شمالی</c:v>
                </c:pt>
                <c:pt idx="28">
                  <c:v>گلستان</c:v>
                </c:pt>
                <c:pt idx="29">
                  <c:v>فارس</c:v>
                </c:pt>
                <c:pt idx="30">
                  <c:v>کهگیلویه و بویر احمد</c:v>
                </c:pt>
                <c:pt idx="31">
                  <c:v>مجموع</c:v>
                </c:pt>
              </c:strCache>
            </c:strRef>
          </c:cat>
          <c:val>
            <c:numRef>
              <c:f>Compare!$D$2:$D$33</c:f>
              <c:numCache>
                <c:formatCode>#,##0</c:formatCode>
                <c:ptCount val="32"/>
                <c:pt idx="0">
                  <c:v>1751.851851851852</c:v>
                </c:pt>
                <c:pt idx="1">
                  <c:v>1566.6666666666665</c:v>
                </c:pt>
                <c:pt idx="2">
                  <c:v>637.77777777777783</c:v>
                </c:pt>
                <c:pt idx="3">
                  <c:v>246.26865671641789</c:v>
                </c:pt>
                <c:pt idx="4">
                  <c:v>216.66666666666666</c:v>
                </c:pt>
                <c:pt idx="5">
                  <c:v>204.99999999999997</c:v>
                </c:pt>
                <c:pt idx="6">
                  <c:v>138.32599118942733</c:v>
                </c:pt>
                <c:pt idx="7">
                  <c:v>138.22965212541368</c:v>
                </c:pt>
                <c:pt idx="8">
                  <c:v>133.06878306878306</c:v>
                </c:pt>
                <c:pt idx="9">
                  <c:v>111.11111111111111</c:v>
                </c:pt>
                <c:pt idx="10">
                  <c:v>75.555555555555557</c:v>
                </c:pt>
                <c:pt idx="11">
                  <c:v>37.991999999999997</c:v>
                </c:pt>
                <c:pt idx="12">
                  <c:v>36.511156186612574</c:v>
                </c:pt>
                <c:pt idx="13">
                  <c:v>34.693877551020407</c:v>
                </c:pt>
                <c:pt idx="14">
                  <c:v>21.393034825870647</c:v>
                </c:pt>
                <c:pt idx="15">
                  <c:v>19.26605504587156</c:v>
                </c:pt>
                <c:pt idx="16">
                  <c:v>18.181818181818183</c:v>
                </c:pt>
                <c:pt idx="17">
                  <c:v>4.3859649122807012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-17.647058823529413</c:v>
                </c:pt>
                <c:pt idx="22">
                  <c:v>-18.421052631578945</c:v>
                </c:pt>
                <c:pt idx="23">
                  <c:v>-18.981481481481481</c:v>
                </c:pt>
                <c:pt idx="24">
                  <c:v>-20</c:v>
                </c:pt>
                <c:pt idx="25">
                  <c:v>-29.411764705882355</c:v>
                </c:pt>
                <c:pt idx="26">
                  <c:v>-37.086092715231786</c:v>
                </c:pt>
                <c:pt idx="27">
                  <c:v>-41.686367218282108</c:v>
                </c:pt>
                <c:pt idx="28">
                  <c:v>-88.235294117647058</c:v>
                </c:pt>
                <c:pt idx="29">
                  <c:v>-100</c:v>
                </c:pt>
                <c:pt idx="30">
                  <c:v>-100</c:v>
                </c:pt>
                <c:pt idx="31">
                  <c:v>81.972451451189087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7-4D67-9047-A447E8F2C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89540847"/>
        <c:axId val="589538767"/>
      </c:barChart>
      <c:catAx>
        <c:axId val="58954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B Nazanin" panose="00000400000000000000" pitchFamily="2" charset="-78"/>
              </a:defRPr>
            </a:pPr>
            <a:endParaRPr lang="en-US"/>
          </a:p>
        </c:txPr>
        <c:crossAx val="589538767"/>
        <c:crosses val="autoZero"/>
        <c:auto val="1"/>
        <c:lblAlgn val="ctr"/>
        <c:lblOffset val="100"/>
        <c:noMultiLvlLbl val="0"/>
      </c:catAx>
      <c:valAx>
        <c:axId val="589538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9540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1512789</xdr:colOff>
      <xdr:row>0</xdr:row>
      <xdr:rowOff>0</xdr:rowOff>
    </xdr:from>
    <xdr:to>
      <xdr:col>19</xdr:col>
      <xdr:colOff>515470</xdr:colOff>
      <xdr:row>21</xdr:row>
      <xdr:rowOff>235322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4EE788-CF08-4619-9F35-1EB43E4EB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514351</xdr:colOff>
      <xdr:row>0</xdr:row>
      <xdr:rowOff>0</xdr:rowOff>
    </xdr:from>
    <xdr:to>
      <xdr:col>35</xdr:col>
      <xdr:colOff>435909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82674B-B7C0-4D60-B77C-8F776F7FEA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rightToLeft="1" tabSelected="1" zoomScale="85" zoomScaleNormal="85" workbookViewId="0">
      <pane xSplit="1" topLeftCell="B1" activePane="topRight" state="frozen"/>
      <selection pane="topRight" activeCell="C29" sqref="C29"/>
    </sheetView>
  </sheetViews>
  <sheetFormatPr defaultRowHeight="15" x14ac:dyDescent="0.25"/>
  <cols>
    <col min="1" max="1" width="17.28515625" bestFit="1" customWidth="1"/>
    <col min="2" max="4" width="22.7109375" customWidth="1"/>
  </cols>
  <sheetData>
    <row r="1" spans="1:4" ht="19.5" x14ac:dyDescent="0.25">
      <c r="A1" s="2" t="s">
        <v>0</v>
      </c>
      <c r="B1" s="2" t="s">
        <v>34</v>
      </c>
      <c r="C1" s="2" t="s">
        <v>33</v>
      </c>
      <c r="D1" s="2" t="s">
        <v>35</v>
      </c>
    </row>
    <row r="2" spans="1:4" ht="19.5" x14ac:dyDescent="0.25">
      <c r="A2" s="3" t="s">
        <v>10</v>
      </c>
      <c r="B2" s="1">
        <v>2700000</v>
      </c>
      <c r="C2" s="1">
        <v>50000000</v>
      </c>
      <c r="D2" s="1">
        <f t="shared" ref="D2:D33" si="0">IFERROR(((C2-B2)/B2)*100, 0)</f>
        <v>1751.851851851852</v>
      </c>
    </row>
    <row r="3" spans="1:4" ht="19.5" x14ac:dyDescent="0.25">
      <c r="A3" s="3" t="s">
        <v>3</v>
      </c>
      <c r="B3" s="1">
        <v>6000000</v>
      </c>
      <c r="C3" s="1">
        <v>100000000</v>
      </c>
      <c r="D3" s="1">
        <f t="shared" si="0"/>
        <v>1566.6666666666665</v>
      </c>
    </row>
    <row r="4" spans="1:4" ht="19.5" x14ac:dyDescent="0.25">
      <c r="A4" s="3" t="s">
        <v>5</v>
      </c>
      <c r="B4" s="1">
        <v>22500000</v>
      </c>
      <c r="C4" s="1">
        <v>166000000</v>
      </c>
      <c r="D4" s="1">
        <f t="shared" si="0"/>
        <v>637.77777777777783</v>
      </c>
    </row>
    <row r="5" spans="1:4" ht="19.5" x14ac:dyDescent="0.25">
      <c r="A5" s="3" t="s">
        <v>1</v>
      </c>
      <c r="B5" s="1">
        <v>6700000</v>
      </c>
      <c r="C5" s="1">
        <v>23200000</v>
      </c>
      <c r="D5" s="1">
        <f t="shared" si="0"/>
        <v>246.26865671641789</v>
      </c>
    </row>
    <row r="6" spans="1:4" ht="19.5" x14ac:dyDescent="0.25">
      <c r="A6" s="3" t="s">
        <v>30</v>
      </c>
      <c r="B6" s="1">
        <v>24000000</v>
      </c>
      <c r="C6" s="1">
        <v>76000000</v>
      </c>
      <c r="D6" s="1">
        <f t="shared" si="0"/>
        <v>216.66666666666666</v>
      </c>
    </row>
    <row r="7" spans="1:4" ht="19.5" x14ac:dyDescent="0.25">
      <c r="A7" s="3" t="s">
        <v>28</v>
      </c>
      <c r="B7" s="1">
        <v>16000000</v>
      </c>
      <c r="C7" s="1">
        <v>48800000</v>
      </c>
      <c r="D7" s="1">
        <f t="shared" si="0"/>
        <v>204.99999999999997</v>
      </c>
    </row>
    <row r="8" spans="1:4" ht="19.5" x14ac:dyDescent="0.25">
      <c r="A8" s="3" t="s">
        <v>8</v>
      </c>
      <c r="B8" s="1">
        <v>22700000</v>
      </c>
      <c r="C8" s="1">
        <v>54100000</v>
      </c>
      <c r="D8" s="1">
        <f t="shared" si="0"/>
        <v>138.32599118942733</v>
      </c>
    </row>
    <row r="9" spans="1:4" ht="19.5" x14ac:dyDescent="0.25">
      <c r="A9" s="3" t="s">
        <v>2</v>
      </c>
      <c r="B9" s="1">
        <v>214650920</v>
      </c>
      <c r="C9" s="1">
        <v>511362140</v>
      </c>
      <c r="D9" s="1">
        <f t="shared" si="0"/>
        <v>138.22965212541368</v>
      </c>
    </row>
    <row r="10" spans="1:4" ht="19.5" x14ac:dyDescent="0.25">
      <c r="A10" s="3" t="s">
        <v>11</v>
      </c>
      <c r="B10" s="1">
        <v>37800000</v>
      </c>
      <c r="C10" s="1">
        <v>88100000</v>
      </c>
      <c r="D10" s="1">
        <f t="shared" si="0"/>
        <v>133.06878306878306</v>
      </c>
    </row>
    <row r="11" spans="1:4" ht="19.5" x14ac:dyDescent="0.25">
      <c r="A11" s="3" t="s">
        <v>9</v>
      </c>
      <c r="B11" s="1">
        <v>3600000</v>
      </c>
      <c r="C11" s="1">
        <v>7600000</v>
      </c>
      <c r="D11" s="1">
        <f t="shared" si="0"/>
        <v>111.11111111111111</v>
      </c>
    </row>
    <row r="12" spans="1:4" ht="18" customHeight="1" x14ac:dyDescent="0.25">
      <c r="A12" s="3" t="s">
        <v>16</v>
      </c>
      <c r="B12" s="1">
        <v>13500000</v>
      </c>
      <c r="C12" s="1">
        <v>23700000</v>
      </c>
      <c r="D12" s="1">
        <f t="shared" si="0"/>
        <v>75.555555555555557</v>
      </c>
    </row>
    <row r="13" spans="1:4" ht="19.5" x14ac:dyDescent="0.25">
      <c r="A13" s="3" t="s">
        <v>19</v>
      </c>
      <c r="B13" s="1">
        <v>125000000</v>
      </c>
      <c r="C13" s="1">
        <v>172490000</v>
      </c>
      <c r="D13" s="1">
        <f t="shared" si="0"/>
        <v>37.991999999999997</v>
      </c>
    </row>
    <row r="14" spans="1:4" ht="19.5" x14ac:dyDescent="0.25">
      <c r="A14" s="3" t="s">
        <v>13</v>
      </c>
      <c r="B14" s="1">
        <v>493000000</v>
      </c>
      <c r="C14" s="1">
        <v>673000000</v>
      </c>
      <c r="D14" s="1">
        <f t="shared" si="0"/>
        <v>36.511156186612574</v>
      </c>
    </row>
    <row r="15" spans="1:4" ht="19.5" x14ac:dyDescent="0.25">
      <c r="A15" s="3" t="s">
        <v>22</v>
      </c>
      <c r="B15" s="1">
        <v>49000000</v>
      </c>
      <c r="C15" s="1">
        <v>66000000</v>
      </c>
      <c r="D15" s="1">
        <f t="shared" si="0"/>
        <v>34.693877551020407</v>
      </c>
    </row>
    <row r="16" spans="1:4" ht="19.5" x14ac:dyDescent="0.25">
      <c r="A16" s="3" t="s">
        <v>21</v>
      </c>
      <c r="B16" s="1">
        <v>100500000</v>
      </c>
      <c r="C16" s="1">
        <v>122000000</v>
      </c>
      <c r="D16" s="1">
        <f t="shared" si="0"/>
        <v>21.393034825870647</v>
      </c>
    </row>
    <row r="17" spans="1:4" ht="19.5" x14ac:dyDescent="0.25">
      <c r="A17" s="3" t="s">
        <v>29</v>
      </c>
      <c r="B17" s="1">
        <v>109000000</v>
      </c>
      <c r="C17" s="1">
        <v>130000000</v>
      </c>
      <c r="D17" s="1">
        <f t="shared" si="0"/>
        <v>19.26605504587156</v>
      </c>
    </row>
    <row r="18" spans="1:4" ht="19.5" x14ac:dyDescent="0.25">
      <c r="A18" s="3" t="s">
        <v>14</v>
      </c>
      <c r="B18" s="1">
        <v>11000000</v>
      </c>
      <c r="C18" s="1">
        <v>13000000</v>
      </c>
      <c r="D18" s="1">
        <f t="shared" si="0"/>
        <v>18.181818181818183</v>
      </c>
    </row>
    <row r="19" spans="1:4" ht="19.5" x14ac:dyDescent="0.25">
      <c r="A19" s="3" t="s">
        <v>27</v>
      </c>
      <c r="B19" s="1">
        <v>114000000</v>
      </c>
      <c r="C19" s="1">
        <v>119000000</v>
      </c>
      <c r="D19" s="1">
        <f t="shared" si="0"/>
        <v>4.3859649122807012</v>
      </c>
    </row>
    <row r="20" spans="1:4" ht="19.5" x14ac:dyDescent="0.25">
      <c r="A20" s="3" t="s">
        <v>7</v>
      </c>
      <c r="B20" s="1">
        <v>0</v>
      </c>
      <c r="C20" s="1">
        <v>502000000</v>
      </c>
      <c r="D20" s="1">
        <f t="shared" si="0"/>
        <v>0</v>
      </c>
    </row>
    <row r="21" spans="1:4" ht="19.5" x14ac:dyDescent="0.25">
      <c r="A21" s="3" t="s">
        <v>6</v>
      </c>
      <c r="B21" s="1">
        <v>0</v>
      </c>
      <c r="C21" s="1">
        <v>200000</v>
      </c>
      <c r="D21" s="1">
        <f t="shared" si="0"/>
        <v>0</v>
      </c>
    </row>
    <row r="22" spans="1:4" ht="19.5" x14ac:dyDescent="0.25">
      <c r="A22" s="3" t="s">
        <v>4</v>
      </c>
      <c r="B22" s="1">
        <v>0</v>
      </c>
      <c r="C22" s="1">
        <v>0</v>
      </c>
      <c r="D22" s="1">
        <f t="shared" si="0"/>
        <v>0</v>
      </c>
    </row>
    <row r="23" spans="1:4" ht="19.5" x14ac:dyDescent="0.25">
      <c r="A23" s="3" t="s">
        <v>20</v>
      </c>
      <c r="B23" s="1">
        <v>17000000</v>
      </c>
      <c r="C23" s="1">
        <v>14000000</v>
      </c>
      <c r="D23" s="1">
        <f t="shared" si="0"/>
        <v>-17.647058823529413</v>
      </c>
    </row>
    <row r="24" spans="1:4" ht="19.5" x14ac:dyDescent="0.25">
      <c r="A24" s="3" t="s">
        <v>18</v>
      </c>
      <c r="B24" s="1">
        <v>76000000</v>
      </c>
      <c r="C24" s="1">
        <v>62000000</v>
      </c>
      <c r="D24" s="1">
        <f t="shared" si="0"/>
        <v>-18.421052631578945</v>
      </c>
    </row>
    <row r="25" spans="1:4" ht="19.5" x14ac:dyDescent="0.25">
      <c r="A25" s="3" t="s">
        <v>25</v>
      </c>
      <c r="B25" s="1">
        <v>43200000</v>
      </c>
      <c r="C25" s="1">
        <v>35000000</v>
      </c>
      <c r="D25" s="1">
        <f t="shared" si="0"/>
        <v>-18.981481481481481</v>
      </c>
    </row>
    <row r="26" spans="1:4" ht="20.25" customHeight="1" x14ac:dyDescent="0.25">
      <c r="A26" s="3" t="s">
        <v>26</v>
      </c>
      <c r="B26" s="1">
        <v>7500000</v>
      </c>
      <c r="C26" s="1">
        <v>6000000</v>
      </c>
      <c r="D26" s="1">
        <f t="shared" si="0"/>
        <v>-20</v>
      </c>
    </row>
    <row r="27" spans="1:4" ht="19.5" x14ac:dyDescent="0.25">
      <c r="A27" s="3" t="s">
        <v>31</v>
      </c>
      <c r="B27" s="1">
        <v>8500000</v>
      </c>
      <c r="C27" s="1">
        <v>6000000</v>
      </c>
      <c r="D27" s="1">
        <f t="shared" si="0"/>
        <v>-29.411764705882355</v>
      </c>
    </row>
    <row r="28" spans="1:4" ht="19.5" x14ac:dyDescent="0.25">
      <c r="A28" s="3" t="s">
        <v>15</v>
      </c>
      <c r="B28" s="1">
        <v>30200000</v>
      </c>
      <c r="C28" s="1">
        <v>19000000</v>
      </c>
      <c r="D28" s="1">
        <f t="shared" si="0"/>
        <v>-37.086092715231786</v>
      </c>
    </row>
    <row r="29" spans="1:4" ht="19.5" x14ac:dyDescent="0.25">
      <c r="A29" s="3" t="s">
        <v>12</v>
      </c>
      <c r="B29" s="1">
        <v>6345000</v>
      </c>
      <c r="C29" s="1">
        <v>3700000</v>
      </c>
      <c r="D29" s="1">
        <f t="shared" si="0"/>
        <v>-41.686367218282108</v>
      </c>
    </row>
    <row r="30" spans="1:4" ht="19.5" x14ac:dyDescent="0.25">
      <c r="A30" s="3" t="s">
        <v>24</v>
      </c>
      <c r="B30" s="1">
        <v>17000000</v>
      </c>
      <c r="C30" s="1">
        <v>2000000</v>
      </c>
      <c r="D30" s="1">
        <f t="shared" si="0"/>
        <v>-88.235294117647058</v>
      </c>
    </row>
    <row r="31" spans="1:4" ht="19.5" x14ac:dyDescent="0.25">
      <c r="A31" s="3" t="s">
        <v>17</v>
      </c>
      <c r="B31" s="1">
        <v>120000000</v>
      </c>
      <c r="C31" s="1">
        <v>0</v>
      </c>
      <c r="D31" s="1">
        <f t="shared" si="0"/>
        <v>-100</v>
      </c>
    </row>
    <row r="32" spans="1:4" ht="19.5" x14ac:dyDescent="0.25">
      <c r="A32" s="3" t="s">
        <v>23</v>
      </c>
      <c r="B32" s="1">
        <v>3000000</v>
      </c>
      <c r="C32" s="1">
        <v>0</v>
      </c>
      <c r="D32" s="1">
        <f t="shared" si="0"/>
        <v>-100</v>
      </c>
    </row>
    <row r="33" spans="1:4" ht="19.5" x14ac:dyDescent="0.25">
      <c r="A33" s="2" t="s">
        <v>32</v>
      </c>
      <c r="B33" s="5">
        <f t="shared" ref="B33:C33" si="1">SUM(B2:B32)</f>
        <v>1700395920</v>
      </c>
      <c r="C33" s="4">
        <f t="shared" si="1"/>
        <v>3094252140</v>
      </c>
      <c r="D33" s="6">
        <f t="shared" si="0"/>
        <v>81.972451451189087</v>
      </c>
    </row>
  </sheetData>
  <autoFilter ref="A1:A34" xr:uid="{00000000-0001-0000-0000-000000000000}"/>
  <sortState xmlns:xlrd2="http://schemas.microsoft.com/office/spreadsheetml/2017/richdata2" ref="A2:D32">
    <sortCondition descending="1" ref="D2:D32"/>
  </sortState>
  <phoneticPr fontId="2" type="noConversion"/>
  <pageMargins left="0.7" right="0.7" top="0.75" bottom="0.75" header="0.3" footer="0.3"/>
  <pageSetup orientation="portrait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Pedram</dc:creator>
  <cp:lastModifiedBy>Ehsan Pedram</cp:lastModifiedBy>
  <dcterms:created xsi:type="dcterms:W3CDTF">2024-11-19T12:45:13Z</dcterms:created>
  <dcterms:modified xsi:type="dcterms:W3CDTF">2026-05-06T11:53:38Z</dcterms:modified>
</cp:coreProperties>
</file>